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jac\Documents\Fatec\INFORMATICA\"/>
    </mc:Choice>
  </mc:AlternateContent>
  <xr:revisionPtr revIDLastSave="105" documentId="8_{05CF51DC-8ECB-4A98-B30F-F68672CF5905}" xr6:coauthVersionLast="47" xr6:coauthVersionMax="47" xr10:uidLastSave="{6A681480-329B-4FA3-99DD-4D2D482B57A7}"/>
  <bookViews>
    <workbookView xWindow="-108" yWindow="-108" windowWidth="23256" windowHeight="12576" firstSheet="1" activeTab="1" xr2:uid="{00000000-000D-0000-FFFF-FFFF00000000}"/>
  </bookViews>
  <sheets>
    <sheet name="Computador_peças" sheetId="3" r:id="rId1"/>
    <sheet name="Sandália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3" l="1"/>
  <c r="C40" i="3"/>
  <c r="D40" i="3"/>
  <c r="B41" i="3"/>
  <c r="C41" i="3"/>
  <c r="D41" i="3"/>
  <c r="B42" i="3"/>
  <c r="C42" i="3"/>
  <c r="D42" i="3"/>
  <c r="B43" i="3"/>
  <c r="C43" i="3"/>
  <c r="D43" i="3"/>
  <c r="B44" i="3"/>
  <c r="C44" i="3"/>
  <c r="D44" i="3"/>
  <c r="B45" i="3"/>
  <c r="C45" i="3"/>
  <c r="D45" i="3"/>
  <c r="B46" i="3"/>
  <c r="C46" i="3"/>
  <c r="D46" i="3"/>
  <c r="B47" i="3"/>
  <c r="C47" i="3"/>
  <c r="D47" i="3"/>
  <c r="B32" i="3"/>
  <c r="C32" i="3"/>
  <c r="D32" i="3"/>
  <c r="B33" i="3"/>
  <c r="C33" i="3"/>
  <c r="D33" i="3"/>
  <c r="B34" i="3"/>
  <c r="C34" i="3"/>
  <c r="D34" i="3"/>
  <c r="B35" i="3"/>
  <c r="C35" i="3"/>
  <c r="D35" i="3"/>
  <c r="B36" i="3"/>
  <c r="C36" i="3"/>
  <c r="D36" i="3"/>
  <c r="B37" i="3"/>
  <c r="C37" i="3"/>
  <c r="D37" i="3"/>
  <c r="B38" i="3"/>
  <c r="C38" i="3"/>
  <c r="D38" i="3"/>
  <c r="B39" i="3"/>
  <c r="C39" i="3"/>
  <c r="D39" i="3"/>
  <c r="B26" i="3"/>
  <c r="C26" i="3"/>
  <c r="D26" i="3"/>
  <c r="B27" i="3"/>
  <c r="C27" i="3"/>
  <c r="D27" i="3"/>
  <c r="B28" i="3"/>
  <c r="C28" i="3"/>
  <c r="D28" i="3"/>
  <c r="B29" i="3"/>
  <c r="C29" i="3"/>
  <c r="D29" i="3"/>
  <c r="B30" i="3"/>
  <c r="C30" i="3"/>
  <c r="D30" i="3"/>
  <c r="B31" i="3"/>
  <c r="C31" i="3"/>
  <c r="D31" i="3"/>
  <c r="C15" i="4"/>
  <c r="C16" i="4"/>
  <c r="C17" i="4"/>
  <c r="C18" i="4"/>
  <c r="C19" i="4"/>
  <c r="C20" i="4"/>
  <c r="C21" i="4"/>
  <c r="C22" i="4"/>
  <c r="C23" i="4"/>
  <c r="C24" i="4"/>
  <c r="C25" i="4"/>
  <c r="C14" i="4"/>
  <c r="B17" i="4"/>
  <c r="B18" i="4"/>
  <c r="B19" i="4"/>
  <c r="B20" i="4"/>
  <c r="B21" i="4"/>
  <c r="B22" i="4"/>
  <c r="B23" i="4"/>
  <c r="B24" i="4"/>
  <c r="B25" i="4"/>
  <c r="B16" i="4"/>
  <c r="B15" i="4"/>
  <c r="B14" i="4"/>
  <c r="D14" i="3"/>
  <c r="D15" i="3"/>
  <c r="D16" i="3"/>
  <c r="D17" i="3"/>
  <c r="D18" i="3"/>
  <c r="D19" i="3"/>
  <c r="D20" i="3"/>
  <c r="D21" i="3"/>
  <c r="D22" i="3"/>
  <c r="D23" i="3"/>
  <c r="D24" i="3"/>
  <c r="D25" i="3"/>
  <c r="D13" i="3"/>
  <c r="C16" i="3"/>
  <c r="C17" i="3"/>
  <c r="C18" i="3"/>
  <c r="C19" i="3"/>
  <c r="C20" i="3"/>
  <c r="C21" i="3"/>
  <c r="C22" i="3"/>
  <c r="C23" i="3"/>
  <c r="C24" i="3"/>
  <c r="C25" i="3"/>
  <c r="C15" i="3"/>
  <c r="C14" i="3"/>
  <c r="C13" i="3"/>
  <c r="B14" i="3"/>
  <c r="B15" i="3"/>
  <c r="B16" i="3"/>
  <c r="B17" i="3"/>
  <c r="B18" i="3"/>
  <c r="B19" i="3"/>
  <c r="B20" i="3"/>
  <c r="B21" i="3"/>
  <c r="B22" i="3"/>
  <c r="B23" i="3"/>
  <c r="B24" i="3"/>
  <c r="B25" i="3"/>
  <c r="B13" i="3"/>
</calcChain>
</file>

<file path=xl/sharedStrings.xml><?xml version="1.0" encoding="utf-8"?>
<sst xmlns="http://schemas.openxmlformats.org/spreadsheetml/2006/main" count="18" uniqueCount="13">
  <si>
    <t>Um comprador que trabalha em uma fábrica de componentes de computador necessita atender a um pedido de 10 000 espaçadores — peças utilizadas em embalagens —, que poderão ser produzidos internamente ou comprados de um fornecedor que apresente a melhor proposta. Na tabela ao lado, mostram-se as condições que estão sob análise desse comprador</t>
  </si>
  <si>
    <t>Opção</t>
  </si>
  <si>
    <t>Custo fixo por pedido</t>
  </si>
  <si>
    <t>Custo variável por unidade</t>
  </si>
  <si>
    <t>Fabricar</t>
  </si>
  <si>
    <t>Comprar de A</t>
  </si>
  <si>
    <t>Comprar de B</t>
  </si>
  <si>
    <t>Quantidade de Espaçadores</t>
  </si>
  <si>
    <t>A melhor opção é fabricar as peças</t>
  </si>
  <si>
    <t>Preço de venda de cada sandália</t>
  </si>
  <si>
    <t>Quantidade de Sandálias</t>
  </si>
  <si>
    <t>Custo Total de Produção</t>
  </si>
  <si>
    <t>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</si>
</sst>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1" fillId="0" borderId="1" xfId="1" applyNumberFormat="1" applyFont="1" applyBorder="1" applyAlignment="1">
      <alignment wrapText="1"/>
    </xf>
    <xf numFmtId="164" fontId="0" fillId="0" borderId="1" xfId="0" applyNumberFormat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3" fillId="0" borderId="0" xfId="0" applyFont="1"/>
  </cellXfs>
  <cellStyles count="2">
    <cellStyle name="Moeda" xfId="1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Light16">
    <tableStyle name="Invisible" pivot="0" table="0" count="0" xr9:uid="{0BB3C633-7D78-41A9-8D9C-B59FF28A0579}"/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Computador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Computador_peças!$B$12</c:f>
              <c:strCache>
                <c:ptCount val="1"/>
                <c:pt idx="0">
                  <c:v>Fabricar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Computador_peças!$A$13:$A$47</c:f>
              <c:numCache>
                <c:formatCode>General</c:formatCode>
                <c:ptCount val="35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3900</c:v>
                </c:pt>
                <c:pt idx="14">
                  <c:v>4200</c:v>
                </c:pt>
                <c:pt idx="15">
                  <c:v>4500</c:v>
                </c:pt>
                <c:pt idx="16">
                  <c:v>4800</c:v>
                </c:pt>
                <c:pt idx="17">
                  <c:v>5100</c:v>
                </c:pt>
                <c:pt idx="18">
                  <c:v>5400</c:v>
                </c:pt>
                <c:pt idx="19">
                  <c:v>5700</c:v>
                </c:pt>
                <c:pt idx="20">
                  <c:v>6000</c:v>
                </c:pt>
                <c:pt idx="21">
                  <c:v>6300</c:v>
                </c:pt>
                <c:pt idx="22">
                  <c:v>6600</c:v>
                </c:pt>
                <c:pt idx="23">
                  <c:v>6900</c:v>
                </c:pt>
                <c:pt idx="24">
                  <c:v>7200</c:v>
                </c:pt>
                <c:pt idx="25">
                  <c:v>7500</c:v>
                </c:pt>
                <c:pt idx="26">
                  <c:v>7800</c:v>
                </c:pt>
                <c:pt idx="27">
                  <c:v>8100</c:v>
                </c:pt>
                <c:pt idx="28">
                  <c:v>8400</c:v>
                </c:pt>
                <c:pt idx="29">
                  <c:v>8700</c:v>
                </c:pt>
                <c:pt idx="30">
                  <c:v>9000</c:v>
                </c:pt>
                <c:pt idx="31">
                  <c:v>9300</c:v>
                </c:pt>
                <c:pt idx="32">
                  <c:v>9600</c:v>
                </c:pt>
                <c:pt idx="33">
                  <c:v>9900</c:v>
                </c:pt>
                <c:pt idx="34">
                  <c:v>10000</c:v>
                </c:pt>
              </c:numCache>
            </c:numRef>
          </c:xVal>
          <c:yVal>
            <c:numRef>
              <c:f>Computador_peças!$B$13:$B$47</c:f>
              <c:numCache>
                <c:formatCode>_("R$"* #,##0.00_);_("R$"* \(#,##0.00\);_("R$"* "-"??_);_(@_)</c:formatCode>
                <c:ptCount val="35"/>
                <c:pt idx="0">
                  <c:v>2000</c:v>
                </c:pt>
                <c:pt idx="1">
                  <c:v>2267</c:v>
                </c:pt>
                <c:pt idx="2">
                  <c:v>2534</c:v>
                </c:pt>
                <c:pt idx="3">
                  <c:v>2801</c:v>
                </c:pt>
                <c:pt idx="4">
                  <c:v>3068</c:v>
                </c:pt>
                <c:pt idx="5">
                  <c:v>3335</c:v>
                </c:pt>
                <c:pt idx="6">
                  <c:v>3602</c:v>
                </c:pt>
                <c:pt idx="7">
                  <c:v>3869</c:v>
                </c:pt>
                <c:pt idx="8">
                  <c:v>4136</c:v>
                </c:pt>
                <c:pt idx="9">
                  <c:v>4403</c:v>
                </c:pt>
                <c:pt idx="10">
                  <c:v>4670</c:v>
                </c:pt>
                <c:pt idx="11">
                  <c:v>4937</c:v>
                </c:pt>
                <c:pt idx="12">
                  <c:v>5204</c:v>
                </c:pt>
                <c:pt idx="13">
                  <c:v>5471</c:v>
                </c:pt>
                <c:pt idx="14">
                  <c:v>5738</c:v>
                </c:pt>
                <c:pt idx="15">
                  <c:v>6005</c:v>
                </c:pt>
                <c:pt idx="16">
                  <c:v>6272</c:v>
                </c:pt>
                <c:pt idx="17">
                  <c:v>6539</c:v>
                </c:pt>
                <c:pt idx="18">
                  <c:v>6806</c:v>
                </c:pt>
                <c:pt idx="19">
                  <c:v>7073</c:v>
                </c:pt>
                <c:pt idx="20">
                  <c:v>7340</c:v>
                </c:pt>
                <c:pt idx="21">
                  <c:v>7607</c:v>
                </c:pt>
                <c:pt idx="22">
                  <c:v>7874</c:v>
                </c:pt>
                <c:pt idx="23">
                  <c:v>8141</c:v>
                </c:pt>
                <c:pt idx="24">
                  <c:v>8408</c:v>
                </c:pt>
                <c:pt idx="25">
                  <c:v>8675</c:v>
                </c:pt>
                <c:pt idx="26">
                  <c:v>8942</c:v>
                </c:pt>
                <c:pt idx="27">
                  <c:v>9209</c:v>
                </c:pt>
                <c:pt idx="28">
                  <c:v>9476</c:v>
                </c:pt>
                <c:pt idx="29">
                  <c:v>9743</c:v>
                </c:pt>
                <c:pt idx="30">
                  <c:v>10010</c:v>
                </c:pt>
                <c:pt idx="31">
                  <c:v>10277</c:v>
                </c:pt>
                <c:pt idx="32">
                  <c:v>10544</c:v>
                </c:pt>
                <c:pt idx="33">
                  <c:v>10811</c:v>
                </c:pt>
                <c:pt idx="34">
                  <c:v>10900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5B-413B-8471-8EE967230691}"/>
            </c:ext>
          </c:extLst>
        </c:ser>
        <c:ser>
          <c:idx val="1"/>
          <c:order val="1"/>
          <c:tx>
            <c:strRef>
              <c:f>Computador_peças!$C$12</c:f>
              <c:strCache>
                <c:ptCount val="1"/>
                <c:pt idx="0">
                  <c:v>Comprar de 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Computador_peças!$A$13:$A$47</c:f>
              <c:numCache>
                <c:formatCode>General</c:formatCode>
                <c:ptCount val="35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3900</c:v>
                </c:pt>
                <c:pt idx="14">
                  <c:v>4200</c:v>
                </c:pt>
                <c:pt idx="15">
                  <c:v>4500</c:v>
                </c:pt>
                <c:pt idx="16">
                  <c:v>4800</c:v>
                </c:pt>
                <c:pt idx="17">
                  <c:v>5100</c:v>
                </c:pt>
                <c:pt idx="18">
                  <c:v>5400</c:v>
                </c:pt>
                <c:pt idx="19">
                  <c:v>5700</c:v>
                </c:pt>
                <c:pt idx="20">
                  <c:v>6000</c:v>
                </c:pt>
                <c:pt idx="21">
                  <c:v>6300</c:v>
                </c:pt>
                <c:pt idx="22">
                  <c:v>6600</c:v>
                </c:pt>
                <c:pt idx="23">
                  <c:v>6900</c:v>
                </c:pt>
                <c:pt idx="24">
                  <c:v>7200</c:v>
                </c:pt>
                <c:pt idx="25">
                  <c:v>7500</c:v>
                </c:pt>
                <c:pt idx="26">
                  <c:v>7800</c:v>
                </c:pt>
                <c:pt idx="27">
                  <c:v>8100</c:v>
                </c:pt>
                <c:pt idx="28">
                  <c:v>8400</c:v>
                </c:pt>
                <c:pt idx="29">
                  <c:v>8700</c:v>
                </c:pt>
                <c:pt idx="30">
                  <c:v>9000</c:v>
                </c:pt>
                <c:pt idx="31">
                  <c:v>9300</c:v>
                </c:pt>
                <c:pt idx="32">
                  <c:v>9600</c:v>
                </c:pt>
                <c:pt idx="33">
                  <c:v>9900</c:v>
                </c:pt>
                <c:pt idx="34">
                  <c:v>10000</c:v>
                </c:pt>
              </c:numCache>
            </c:numRef>
          </c:xVal>
          <c:yVal>
            <c:numRef>
              <c:f>Computador_peças!$C$13:$C$47</c:f>
              <c:numCache>
                <c:formatCode>_("R$"* #,##0.00_);_("R$"* \(#,##0.00\);_("R$"* "-"??_);_(@_)</c:formatCode>
                <c:ptCount val="35"/>
                <c:pt idx="0">
                  <c:v>1500</c:v>
                </c:pt>
                <c:pt idx="1">
                  <c:v>1800</c:v>
                </c:pt>
                <c:pt idx="2">
                  <c:v>2130</c:v>
                </c:pt>
                <c:pt idx="3">
                  <c:v>2445</c:v>
                </c:pt>
                <c:pt idx="4">
                  <c:v>2760</c:v>
                </c:pt>
                <c:pt idx="5">
                  <c:v>3075</c:v>
                </c:pt>
                <c:pt idx="6">
                  <c:v>3390</c:v>
                </c:pt>
                <c:pt idx="7">
                  <c:v>3705</c:v>
                </c:pt>
                <c:pt idx="8">
                  <c:v>4020</c:v>
                </c:pt>
                <c:pt idx="9">
                  <c:v>4335</c:v>
                </c:pt>
                <c:pt idx="10">
                  <c:v>4650</c:v>
                </c:pt>
                <c:pt idx="11">
                  <c:v>4965</c:v>
                </c:pt>
                <c:pt idx="12">
                  <c:v>5280</c:v>
                </c:pt>
                <c:pt idx="13">
                  <c:v>5595</c:v>
                </c:pt>
                <c:pt idx="14">
                  <c:v>5910</c:v>
                </c:pt>
                <c:pt idx="15">
                  <c:v>6225</c:v>
                </c:pt>
                <c:pt idx="16">
                  <c:v>6540</c:v>
                </c:pt>
                <c:pt idx="17">
                  <c:v>6855</c:v>
                </c:pt>
                <c:pt idx="18">
                  <c:v>7170</c:v>
                </c:pt>
                <c:pt idx="19">
                  <c:v>7485</c:v>
                </c:pt>
                <c:pt idx="20">
                  <c:v>7800</c:v>
                </c:pt>
                <c:pt idx="21">
                  <c:v>8115</c:v>
                </c:pt>
                <c:pt idx="22">
                  <c:v>8430</c:v>
                </c:pt>
                <c:pt idx="23">
                  <c:v>8745</c:v>
                </c:pt>
                <c:pt idx="24">
                  <c:v>9060</c:v>
                </c:pt>
                <c:pt idx="25">
                  <c:v>9375</c:v>
                </c:pt>
                <c:pt idx="26">
                  <c:v>9690</c:v>
                </c:pt>
                <c:pt idx="27">
                  <c:v>10005</c:v>
                </c:pt>
                <c:pt idx="28">
                  <c:v>10320</c:v>
                </c:pt>
                <c:pt idx="29">
                  <c:v>10635</c:v>
                </c:pt>
                <c:pt idx="30">
                  <c:v>10950</c:v>
                </c:pt>
                <c:pt idx="31">
                  <c:v>11265</c:v>
                </c:pt>
                <c:pt idx="32">
                  <c:v>11580</c:v>
                </c:pt>
                <c:pt idx="33">
                  <c:v>11895</c:v>
                </c:pt>
                <c:pt idx="34">
                  <c:v>12000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5B-413B-8471-8EE967230691}"/>
            </c:ext>
          </c:extLst>
        </c:ser>
        <c:ser>
          <c:idx val="2"/>
          <c:order val="2"/>
          <c:tx>
            <c:strRef>
              <c:f>Computador_peças!$D$12</c:f>
              <c:strCache>
                <c:ptCount val="1"/>
                <c:pt idx="0">
                  <c:v>Comprar de 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Computador_peças!$A$13:$A$47</c:f>
              <c:numCache>
                <c:formatCode>General</c:formatCode>
                <c:ptCount val="35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3900</c:v>
                </c:pt>
                <c:pt idx="14">
                  <c:v>4200</c:v>
                </c:pt>
                <c:pt idx="15">
                  <c:v>4500</c:v>
                </c:pt>
                <c:pt idx="16">
                  <c:v>4800</c:v>
                </c:pt>
                <c:pt idx="17">
                  <c:v>5100</c:v>
                </c:pt>
                <c:pt idx="18">
                  <c:v>5400</c:v>
                </c:pt>
                <c:pt idx="19">
                  <c:v>5700</c:v>
                </c:pt>
                <c:pt idx="20">
                  <c:v>6000</c:v>
                </c:pt>
                <c:pt idx="21">
                  <c:v>6300</c:v>
                </c:pt>
                <c:pt idx="22">
                  <c:v>6600</c:v>
                </c:pt>
                <c:pt idx="23">
                  <c:v>6900</c:v>
                </c:pt>
                <c:pt idx="24">
                  <c:v>7200</c:v>
                </c:pt>
                <c:pt idx="25">
                  <c:v>7500</c:v>
                </c:pt>
                <c:pt idx="26">
                  <c:v>7800</c:v>
                </c:pt>
                <c:pt idx="27">
                  <c:v>8100</c:v>
                </c:pt>
                <c:pt idx="28">
                  <c:v>8400</c:v>
                </c:pt>
                <c:pt idx="29">
                  <c:v>8700</c:v>
                </c:pt>
                <c:pt idx="30">
                  <c:v>9000</c:v>
                </c:pt>
                <c:pt idx="31">
                  <c:v>9300</c:v>
                </c:pt>
                <c:pt idx="32">
                  <c:v>9600</c:v>
                </c:pt>
                <c:pt idx="33">
                  <c:v>9900</c:v>
                </c:pt>
                <c:pt idx="34">
                  <c:v>10000</c:v>
                </c:pt>
              </c:numCache>
            </c:numRef>
          </c:xVal>
          <c:yVal>
            <c:numRef>
              <c:f>Computador_peças!$D$13:$D$47</c:f>
              <c:numCache>
                <c:formatCode>_("R$"* #,##0.00_);_("R$"* \(#,##0.00\);_("R$"* "-"??_);_(@_)</c:formatCode>
                <c:ptCount val="35"/>
                <c:pt idx="0">
                  <c:v>1750</c:v>
                </c:pt>
                <c:pt idx="1">
                  <c:v>2050</c:v>
                </c:pt>
                <c:pt idx="2">
                  <c:v>2350</c:v>
                </c:pt>
                <c:pt idx="3">
                  <c:v>2650</c:v>
                </c:pt>
                <c:pt idx="4">
                  <c:v>2950</c:v>
                </c:pt>
                <c:pt idx="5">
                  <c:v>3250</c:v>
                </c:pt>
                <c:pt idx="6">
                  <c:v>3550</c:v>
                </c:pt>
                <c:pt idx="7">
                  <c:v>3850</c:v>
                </c:pt>
                <c:pt idx="8">
                  <c:v>4150</c:v>
                </c:pt>
                <c:pt idx="9">
                  <c:v>4450</c:v>
                </c:pt>
                <c:pt idx="10">
                  <c:v>4750</c:v>
                </c:pt>
                <c:pt idx="11">
                  <c:v>5050</c:v>
                </c:pt>
                <c:pt idx="12">
                  <c:v>5350</c:v>
                </c:pt>
                <c:pt idx="13">
                  <c:v>5650</c:v>
                </c:pt>
                <c:pt idx="14">
                  <c:v>5950</c:v>
                </c:pt>
                <c:pt idx="15">
                  <c:v>6250</c:v>
                </c:pt>
                <c:pt idx="16">
                  <c:v>6550</c:v>
                </c:pt>
                <c:pt idx="17">
                  <c:v>6850</c:v>
                </c:pt>
                <c:pt idx="18">
                  <c:v>7150</c:v>
                </c:pt>
                <c:pt idx="19">
                  <c:v>7450</c:v>
                </c:pt>
                <c:pt idx="20">
                  <c:v>7750</c:v>
                </c:pt>
                <c:pt idx="21">
                  <c:v>8050</c:v>
                </c:pt>
                <c:pt idx="22">
                  <c:v>8350</c:v>
                </c:pt>
                <c:pt idx="23">
                  <c:v>8650</c:v>
                </c:pt>
                <c:pt idx="24">
                  <c:v>8950</c:v>
                </c:pt>
                <c:pt idx="25">
                  <c:v>9250</c:v>
                </c:pt>
                <c:pt idx="26">
                  <c:v>9550</c:v>
                </c:pt>
                <c:pt idx="27">
                  <c:v>9850</c:v>
                </c:pt>
                <c:pt idx="28">
                  <c:v>10150</c:v>
                </c:pt>
                <c:pt idx="29">
                  <c:v>10450</c:v>
                </c:pt>
                <c:pt idx="30">
                  <c:v>10750</c:v>
                </c:pt>
                <c:pt idx="31">
                  <c:v>11050</c:v>
                </c:pt>
                <c:pt idx="32">
                  <c:v>11350</c:v>
                </c:pt>
                <c:pt idx="33">
                  <c:v>11650</c:v>
                </c:pt>
                <c:pt idx="34">
                  <c:v>11750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5B-413B-8471-8EE96723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923336"/>
        <c:axId val="1685937672"/>
      </c:scatterChart>
      <c:valAx>
        <c:axId val="1685923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937672"/>
        <c:crosses val="autoZero"/>
        <c:crossBetween val="midCat"/>
      </c:valAx>
      <c:valAx>
        <c:axId val="168593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923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Sandálias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Sandálias!$B$13</c:f>
              <c:strCache>
                <c:ptCount val="1"/>
                <c:pt idx="0">
                  <c:v>Custo Total de Produção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Sandálias!$A$14:$A$25</c:f>
              <c:numCache>
                <c:formatCode>General</c:formatCode>
                <c:ptCount val="12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</c:numCache>
            </c:numRef>
          </c:xVal>
          <c:yVal>
            <c:numRef>
              <c:f>Sandálias!$B$14:$B$25</c:f>
              <c:numCache>
                <c:formatCode>"R$"\ #,##0.00</c:formatCode>
                <c:ptCount val="12"/>
                <c:pt idx="0">
                  <c:v>18000</c:v>
                </c:pt>
                <c:pt idx="1">
                  <c:v>22000</c:v>
                </c:pt>
                <c:pt idx="2">
                  <c:v>26000</c:v>
                </c:pt>
                <c:pt idx="3">
                  <c:v>30000</c:v>
                </c:pt>
                <c:pt idx="4">
                  <c:v>34000</c:v>
                </c:pt>
                <c:pt idx="5">
                  <c:v>38000</c:v>
                </c:pt>
                <c:pt idx="6">
                  <c:v>42000</c:v>
                </c:pt>
                <c:pt idx="7">
                  <c:v>46000</c:v>
                </c:pt>
                <c:pt idx="8">
                  <c:v>50000</c:v>
                </c:pt>
                <c:pt idx="9">
                  <c:v>54000</c:v>
                </c:pt>
                <c:pt idx="10">
                  <c:v>58000</c:v>
                </c:pt>
                <c:pt idx="11">
                  <c:v>62000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F-4704-B322-6270BA78B6B0}"/>
            </c:ext>
          </c:extLst>
        </c:ser>
        <c:ser>
          <c:idx val="1"/>
          <c:order val="1"/>
          <c:tx>
            <c:strRef>
              <c:f>Sandálias!$C$13</c:f>
              <c:strCache>
                <c:ptCount val="1"/>
                <c:pt idx="0">
                  <c:v>Lucro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Sandálias!$A$14:$A$25</c:f>
              <c:numCache>
                <c:formatCode>General</c:formatCode>
                <c:ptCount val="12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</c:numCache>
            </c:numRef>
          </c:xVal>
          <c:yVal>
            <c:numRef>
              <c:f>Sandálias!$C$14:$C$25</c:f>
              <c:numCache>
                <c:formatCode>"R$"\ #,##0.00</c:formatCode>
                <c:ptCount val="12"/>
                <c:pt idx="0">
                  <c:v>-18000</c:v>
                </c:pt>
                <c:pt idx="1">
                  <c:v>-12000</c:v>
                </c:pt>
                <c:pt idx="2">
                  <c:v>-6000</c:v>
                </c:pt>
                <c:pt idx="3">
                  <c:v>0</c:v>
                </c:pt>
                <c:pt idx="4">
                  <c:v>6000</c:v>
                </c:pt>
                <c:pt idx="5">
                  <c:v>12000</c:v>
                </c:pt>
                <c:pt idx="6">
                  <c:v>18000</c:v>
                </c:pt>
                <c:pt idx="7">
                  <c:v>24000</c:v>
                </c:pt>
                <c:pt idx="8">
                  <c:v>30000</c:v>
                </c:pt>
                <c:pt idx="9">
                  <c:v>36000</c:v>
                </c:pt>
                <c:pt idx="10">
                  <c:v>42000</c:v>
                </c:pt>
                <c:pt idx="11">
                  <c:v>48000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0F-4704-B322-6270BA78B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587911"/>
        <c:axId val="1862589959"/>
      </c:scatterChart>
      <c:valAx>
        <c:axId val="1862587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589959"/>
        <c:crosses val="autoZero"/>
        <c:crossBetween val="midCat"/>
      </c:valAx>
      <c:valAx>
        <c:axId val="1862589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587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11</xdr:row>
      <xdr:rowOff>352425</xdr:rowOff>
    </xdr:from>
    <xdr:to>
      <xdr:col>12</xdr:col>
      <xdr:colOff>323850</xdr:colOff>
      <xdr:row>34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921DF90-DA09-B685-2180-CB59756B0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19050</xdr:rowOff>
    </xdr:from>
    <xdr:to>
      <xdr:col>2</xdr:col>
      <xdr:colOff>1647824</xdr:colOff>
      <xdr:row>8</xdr:row>
      <xdr:rowOff>142875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19050"/>
          <a:ext cx="5172075" cy="1838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209550</xdr:colOff>
      <xdr:row>5</xdr:row>
      <xdr:rowOff>171450</xdr:rowOff>
    </xdr:from>
    <xdr:to>
      <xdr:col>8</xdr:col>
      <xdr:colOff>161925</xdr:colOff>
      <xdr:row>24</xdr:row>
      <xdr:rowOff>9525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F4AF1D0-4B63-F0DE-4111-43F2F4B0E4C3}"/>
            </a:ext>
            <a:ext uri="{147F2762-F138-4A5C-976F-8EAC2B608ADB}">
              <a16:predDERef xmlns:a16="http://schemas.microsoft.com/office/drawing/2014/main" pre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workbookViewId="0">
      <selection activeCell="J40" sqref="J40"/>
    </sheetView>
  </sheetViews>
  <sheetFormatPr defaultRowHeight="15" customHeight="1"/>
  <cols>
    <col min="1" max="1" width="15.28515625" customWidth="1"/>
    <col min="2" max="2" width="15.140625" customWidth="1"/>
    <col min="3" max="3" width="14.5703125" customWidth="1"/>
    <col min="4" max="4" width="15.42578125" customWidth="1"/>
    <col min="10" max="10" width="13.28515625" style="1" customWidth="1"/>
    <col min="11" max="11" width="19.7109375" style="1" customWidth="1"/>
    <col min="12" max="12" width="31.5703125" style="1" customWidth="1"/>
    <col min="13" max="13" width="15.28515625" customWidth="1"/>
  </cols>
  <sheetData>
    <row r="1" spans="1:12">
      <c r="A1" s="13" t="s">
        <v>0</v>
      </c>
      <c r="B1" s="14"/>
      <c r="C1" s="14"/>
      <c r="D1" s="14"/>
      <c r="E1" s="14"/>
      <c r="F1" s="14"/>
      <c r="G1" s="14"/>
      <c r="H1" s="15"/>
      <c r="I1" s="1"/>
      <c r="J1" s="22" t="s">
        <v>1</v>
      </c>
      <c r="K1" s="5" t="s">
        <v>2</v>
      </c>
      <c r="L1" s="2" t="s">
        <v>3</v>
      </c>
    </row>
    <row r="2" spans="1:12">
      <c r="A2" s="16"/>
      <c r="B2" s="17"/>
      <c r="C2" s="17"/>
      <c r="D2" s="17"/>
      <c r="E2" s="17"/>
      <c r="F2" s="17"/>
      <c r="G2" s="17"/>
      <c r="H2" s="18"/>
      <c r="I2" s="1"/>
      <c r="J2" s="23" t="s">
        <v>4</v>
      </c>
      <c r="K2" s="24">
        <v>2000</v>
      </c>
      <c r="L2" s="4">
        <v>0.89</v>
      </c>
    </row>
    <row r="3" spans="1:12">
      <c r="A3" s="16"/>
      <c r="B3" s="17"/>
      <c r="C3" s="17"/>
      <c r="D3" s="17"/>
      <c r="E3" s="17"/>
      <c r="F3" s="17"/>
      <c r="G3" s="17"/>
      <c r="H3" s="18"/>
      <c r="I3" s="1"/>
      <c r="J3" s="23" t="s">
        <v>5</v>
      </c>
      <c r="K3" s="24">
        <v>1500</v>
      </c>
      <c r="L3" s="4">
        <v>1.05</v>
      </c>
    </row>
    <row r="4" spans="1:12">
      <c r="A4" s="16"/>
      <c r="B4" s="17"/>
      <c r="C4" s="17"/>
      <c r="D4" s="17"/>
      <c r="E4" s="17"/>
      <c r="F4" s="17"/>
      <c r="G4" s="17"/>
      <c r="H4" s="18"/>
      <c r="I4" s="1"/>
      <c r="J4" s="23" t="s">
        <v>6</v>
      </c>
      <c r="K4" s="24">
        <v>1750</v>
      </c>
      <c r="L4" s="4">
        <v>1</v>
      </c>
    </row>
    <row r="5" spans="1:12">
      <c r="A5" s="16"/>
      <c r="B5" s="17"/>
      <c r="C5" s="17"/>
      <c r="D5" s="17"/>
      <c r="E5" s="17"/>
      <c r="F5" s="17"/>
      <c r="G5" s="17"/>
      <c r="H5" s="18"/>
      <c r="I5" s="1"/>
    </row>
    <row r="6" spans="1:12">
      <c r="A6" s="16"/>
      <c r="B6" s="17"/>
      <c r="C6" s="17"/>
      <c r="D6" s="17"/>
      <c r="E6" s="17"/>
      <c r="F6" s="17"/>
      <c r="G6" s="17"/>
      <c r="H6" s="18"/>
      <c r="I6" s="1"/>
    </row>
    <row r="7" spans="1:12">
      <c r="A7" s="16"/>
      <c r="B7" s="17"/>
      <c r="C7" s="17"/>
      <c r="D7" s="17"/>
      <c r="E7" s="17"/>
      <c r="F7" s="17"/>
      <c r="G7" s="17"/>
      <c r="H7" s="18"/>
      <c r="I7" s="1"/>
    </row>
    <row r="8" spans="1:12">
      <c r="A8" s="16"/>
      <c r="B8" s="17"/>
      <c r="C8" s="17"/>
      <c r="D8" s="17"/>
      <c r="E8" s="17"/>
      <c r="F8" s="17"/>
      <c r="G8" s="17"/>
      <c r="H8" s="18"/>
      <c r="I8" s="1"/>
    </row>
    <row r="9" spans="1:12">
      <c r="A9" s="16"/>
      <c r="B9" s="17"/>
      <c r="C9" s="17"/>
      <c r="D9" s="17"/>
      <c r="E9" s="17"/>
      <c r="F9" s="17"/>
      <c r="G9" s="17"/>
      <c r="H9" s="18"/>
      <c r="I9" s="1"/>
    </row>
    <row r="10" spans="1:12" thickBot="1">
      <c r="A10" s="19"/>
      <c r="B10" s="20"/>
      <c r="C10" s="20"/>
      <c r="D10" s="20"/>
      <c r="E10" s="20"/>
      <c r="F10" s="20"/>
      <c r="G10" s="20"/>
      <c r="H10" s="21"/>
      <c r="I10" s="1"/>
    </row>
    <row r="12" spans="1:12" ht="30.75">
      <c r="A12" s="7" t="s">
        <v>7</v>
      </c>
      <c r="B12" s="8" t="s">
        <v>4</v>
      </c>
      <c r="C12" s="8" t="s">
        <v>5</v>
      </c>
      <c r="D12" s="8" t="s">
        <v>6</v>
      </c>
    </row>
    <row r="13" spans="1:12">
      <c r="A13" s="3">
        <v>0</v>
      </c>
      <c r="B13" s="6">
        <f>$K$2+$L$2*A13</f>
        <v>2000</v>
      </c>
      <c r="C13" s="6">
        <f>$K$3+L3*A13</f>
        <v>1500</v>
      </c>
      <c r="D13" s="6">
        <f>$K$4+$L$4*A13</f>
        <v>1750</v>
      </c>
    </row>
    <row r="14" spans="1:12">
      <c r="A14" s="3">
        <v>300</v>
      </c>
      <c r="B14" s="6">
        <f t="shared" ref="B14:B25" si="0">$K$2+$L$2*A14</f>
        <v>2267</v>
      </c>
      <c r="C14" s="6">
        <f t="shared" ref="C14:C26" si="1">$K$3+L4*A14</f>
        <v>1800</v>
      </c>
      <c r="D14" s="6">
        <f t="shared" ref="D14:D25" si="2">$K$4+$L$4*A14</f>
        <v>2050</v>
      </c>
    </row>
    <row r="15" spans="1:12">
      <c r="A15" s="3">
        <v>600</v>
      </c>
      <c r="B15" s="6">
        <f t="shared" si="0"/>
        <v>2534</v>
      </c>
      <c r="C15" s="6">
        <f>$K$3+$L$3*A15</f>
        <v>2130</v>
      </c>
      <c r="D15" s="6">
        <f t="shared" si="2"/>
        <v>2350</v>
      </c>
    </row>
    <row r="16" spans="1:12">
      <c r="A16" s="3">
        <v>900</v>
      </c>
      <c r="B16" s="6">
        <f t="shared" si="0"/>
        <v>2801</v>
      </c>
      <c r="C16" s="6">
        <f t="shared" ref="C16:C25" si="3">$K$3+$L$3*A16</f>
        <v>2445</v>
      </c>
      <c r="D16" s="6">
        <f t="shared" si="2"/>
        <v>2650</v>
      </c>
    </row>
    <row r="17" spans="1:4">
      <c r="A17" s="3">
        <v>1200</v>
      </c>
      <c r="B17" s="6">
        <f t="shared" si="0"/>
        <v>3068</v>
      </c>
      <c r="C17" s="6">
        <f t="shared" si="3"/>
        <v>2760</v>
      </c>
      <c r="D17" s="6">
        <f t="shared" si="2"/>
        <v>2950</v>
      </c>
    </row>
    <row r="18" spans="1:4">
      <c r="A18" s="3">
        <v>1500</v>
      </c>
      <c r="B18" s="6">
        <f t="shared" si="0"/>
        <v>3335</v>
      </c>
      <c r="C18" s="6">
        <f t="shared" si="3"/>
        <v>3075</v>
      </c>
      <c r="D18" s="6">
        <f t="shared" si="2"/>
        <v>3250</v>
      </c>
    </row>
    <row r="19" spans="1:4">
      <c r="A19" s="3">
        <v>1800</v>
      </c>
      <c r="B19" s="6">
        <f t="shared" si="0"/>
        <v>3602</v>
      </c>
      <c r="C19" s="6">
        <f t="shared" si="3"/>
        <v>3390</v>
      </c>
      <c r="D19" s="6">
        <f t="shared" si="2"/>
        <v>3550</v>
      </c>
    </row>
    <row r="20" spans="1:4">
      <c r="A20" s="3">
        <v>2100</v>
      </c>
      <c r="B20" s="6">
        <f t="shared" si="0"/>
        <v>3869</v>
      </c>
      <c r="C20" s="6">
        <f t="shared" si="3"/>
        <v>3705</v>
      </c>
      <c r="D20" s="6">
        <f t="shared" si="2"/>
        <v>3850</v>
      </c>
    </row>
    <row r="21" spans="1:4">
      <c r="A21" s="3">
        <v>2400</v>
      </c>
      <c r="B21" s="6">
        <f t="shared" si="0"/>
        <v>4136</v>
      </c>
      <c r="C21" s="6">
        <f t="shared" si="3"/>
        <v>4020</v>
      </c>
      <c r="D21" s="6">
        <f t="shared" si="2"/>
        <v>4150</v>
      </c>
    </row>
    <row r="22" spans="1:4">
      <c r="A22" s="3">
        <v>2700</v>
      </c>
      <c r="B22" s="6">
        <f t="shared" si="0"/>
        <v>4403</v>
      </c>
      <c r="C22" s="6">
        <f t="shared" si="3"/>
        <v>4335</v>
      </c>
      <c r="D22" s="6">
        <f t="shared" si="2"/>
        <v>4450</v>
      </c>
    </row>
    <row r="23" spans="1:4">
      <c r="A23" s="3">
        <v>3000</v>
      </c>
      <c r="B23" s="6">
        <f t="shared" si="0"/>
        <v>4670</v>
      </c>
      <c r="C23" s="6">
        <f t="shared" si="3"/>
        <v>4650</v>
      </c>
      <c r="D23" s="6">
        <f t="shared" si="2"/>
        <v>4750</v>
      </c>
    </row>
    <row r="24" spans="1:4">
      <c r="A24" s="3">
        <v>3300</v>
      </c>
      <c r="B24" s="6">
        <f t="shared" si="0"/>
        <v>4937</v>
      </c>
      <c r="C24" s="6">
        <f t="shared" si="3"/>
        <v>4965</v>
      </c>
      <c r="D24" s="6">
        <f t="shared" si="2"/>
        <v>5050</v>
      </c>
    </row>
    <row r="25" spans="1:4">
      <c r="A25" s="3">
        <v>3600</v>
      </c>
      <c r="B25" s="6">
        <f t="shared" si="0"/>
        <v>5204</v>
      </c>
      <c r="C25" s="6">
        <f t="shared" si="3"/>
        <v>5280</v>
      </c>
      <c r="D25" s="6">
        <f t="shared" si="2"/>
        <v>5350</v>
      </c>
    </row>
    <row r="26" spans="1:4">
      <c r="A26" s="3">
        <v>3900</v>
      </c>
      <c r="B26" s="6">
        <f t="shared" ref="B26:B32" si="4">$K$2+$L$2*A26</f>
        <v>5471</v>
      </c>
      <c r="C26" s="6">
        <f t="shared" ref="C26:C32" si="5">$K$3+$L$3*A26</f>
        <v>5595</v>
      </c>
      <c r="D26" s="6">
        <f t="shared" ref="D26:D32" si="6">$K$4+$L$4*A26</f>
        <v>5650</v>
      </c>
    </row>
    <row r="27" spans="1:4">
      <c r="A27" s="3">
        <v>4200</v>
      </c>
      <c r="B27" s="6">
        <f t="shared" si="4"/>
        <v>5738</v>
      </c>
      <c r="C27" s="6">
        <f t="shared" si="5"/>
        <v>5910</v>
      </c>
      <c r="D27" s="6">
        <f t="shared" si="6"/>
        <v>5950</v>
      </c>
    </row>
    <row r="28" spans="1:4">
      <c r="A28" s="3">
        <v>4500</v>
      </c>
      <c r="B28" s="6">
        <f t="shared" si="4"/>
        <v>6005</v>
      </c>
      <c r="C28" s="6">
        <f t="shared" si="5"/>
        <v>6225</v>
      </c>
      <c r="D28" s="6">
        <f t="shared" si="6"/>
        <v>6250</v>
      </c>
    </row>
    <row r="29" spans="1:4">
      <c r="A29" s="3">
        <v>4800</v>
      </c>
      <c r="B29" s="6">
        <f t="shared" si="4"/>
        <v>6272</v>
      </c>
      <c r="C29" s="6">
        <f t="shared" si="5"/>
        <v>6540</v>
      </c>
      <c r="D29" s="6">
        <f t="shared" si="6"/>
        <v>6550</v>
      </c>
    </row>
    <row r="30" spans="1:4">
      <c r="A30" s="3">
        <v>5100</v>
      </c>
      <c r="B30" s="6">
        <f t="shared" si="4"/>
        <v>6539</v>
      </c>
      <c r="C30" s="6">
        <f t="shared" si="5"/>
        <v>6855</v>
      </c>
      <c r="D30" s="6">
        <f t="shared" si="6"/>
        <v>6850</v>
      </c>
    </row>
    <row r="31" spans="1:4">
      <c r="A31" s="3">
        <v>5400</v>
      </c>
      <c r="B31" s="6">
        <f t="shared" si="4"/>
        <v>6806</v>
      </c>
      <c r="C31" s="6">
        <f t="shared" si="5"/>
        <v>7170</v>
      </c>
      <c r="D31" s="6">
        <f t="shared" si="6"/>
        <v>7150</v>
      </c>
    </row>
    <row r="32" spans="1:4">
      <c r="A32" s="3">
        <v>5700</v>
      </c>
      <c r="B32" s="6">
        <f t="shared" si="4"/>
        <v>7073</v>
      </c>
      <c r="C32" s="6">
        <f t="shared" si="5"/>
        <v>7485</v>
      </c>
      <c r="D32" s="6">
        <f t="shared" si="6"/>
        <v>7450</v>
      </c>
    </row>
    <row r="33" spans="1:6">
      <c r="A33" s="3">
        <v>6000</v>
      </c>
      <c r="B33" s="6">
        <f t="shared" ref="B33:B39" si="7">$K$2+$L$2*A33</f>
        <v>7340</v>
      </c>
      <c r="C33" s="6">
        <f t="shared" ref="C33:C39" si="8">$K$3+$L$3*A33</f>
        <v>7800</v>
      </c>
      <c r="D33" s="6">
        <f t="shared" ref="D33:D39" si="9">$K$4+$L$4*A33</f>
        <v>7750</v>
      </c>
    </row>
    <row r="34" spans="1:6">
      <c r="A34" s="3">
        <v>6300</v>
      </c>
      <c r="B34" s="6">
        <f t="shared" si="7"/>
        <v>7607</v>
      </c>
      <c r="C34" s="6">
        <f t="shared" si="8"/>
        <v>8115</v>
      </c>
      <c r="D34" s="6">
        <f t="shared" si="9"/>
        <v>8050</v>
      </c>
    </row>
    <row r="35" spans="1:6">
      <c r="A35" s="3">
        <v>6600</v>
      </c>
      <c r="B35" s="6">
        <f t="shared" si="7"/>
        <v>7874</v>
      </c>
      <c r="C35" s="6">
        <f t="shared" si="8"/>
        <v>8430</v>
      </c>
      <c r="D35" s="6">
        <f t="shared" si="9"/>
        <v>8350</v>
      </c>
    </row>
    <row r="36" spans="1:6" ht="18.75">
      <c r="A36" s="3">
        <v>6900</v>
      </c>
      <c r="B36" s="6">
        <f t="shared" si="7"/>
        <v>8141</v>
      </c>
      <c r="C36" s="6">
        <f t="shared" si="8"/>
        <v>8745</v>
      </c>
      <c r="D36" s="6">
        <f t="shared" si="9"/>
        <v>8650</v>
      </c>
      <c r="F36" s="27" t="s">
        <v>8</v>
      </c>
    </row>
    <row r="37" spans="1:6">
      <c r="A37" s="3">
        <v>7200</v>
      </c>
      <c r="B37" s="6">
        <f t="shared" si="7"/>
        <v>8408</v>
      </c>
      <c r="C37" s="6">
        <f t="shared" si="8"/>
        <v>9060</v>
      </c>
      <c r="D37" s="6">
        <f t="shared" si="9"/>
        <v>8950</v>
      </c>
    </row>
    <row r="38" spans="1:6">
      <c r="A38" s="3">
        <v>7500</v>
      </c>
      <c r="B38" s="6">
        <f t="shared" si="7"/>
        <v>8675</v>
      </c>
      <c r="C38" s="6">
        <f t="shared" si="8"/>
        <v>9375</v>
      </c>
      <c r="D38" s="6">
        <f t="shared" si="9"/>
        <v>9250</v>
      </c>
    </row>
    <row r="39" spans="1:6">
      <c r="A39" s="3">
        <v>7800</v>
      </c>
      <c r="B39" s="6">
        <f t="shared" si="7"/>
        <v>8942</v>
      </c>
      <c r="C39" s="6">
        <f t="shared" si="8"/>
        <v>9690</v>
      </c>
      <c r="D39" s="6">
        <f t="shared" si="9"/>
        <v>9550</v>
      </c>
    </row>
    <row r="40" spans="1:6">
      <c r="A40" s="3">
        <v>8100</v>
      </c>
      <c r="B40" s="6">
        <f>$K$2+$L$2*A40</f>
        <v>9209</v>
      </c>
      <c r="C40" s="6">
        <f>$K$3+$L$3*A40</f>
        <v>10005</v>
      </c>
      <c r="D40" s="6">
        <f>$K$4+$L$4*A40</f>
        <v>9850</v>
      </c>
    </row>
    <row r="41" spans="1:6">
      <c r="A41" s="3">
        <v>8400</v>
      </c>
      <c r="B41" s="6">
        <f>$K$2+$L$2*A41</f>
        <v>9476</v>
      </c>
      <c r="C41" s="6">
        <f>$K$3+$L$3*A41</f>
        <v>10320</v>
      </c>
      <c r="D41" s="6">
        <f>$K$4+$L$4*A41</f>
        <v>10150</v>
      </c>
    </row>
    <row r="42" spans="1:6">
      <c r="A42" s="3">
        <v>8700</v>
      </c>
      <c r="B42" s="6">
        <f>$K$2+$L$2*A42</f>
        <v>9743</v>
      </c>
      <c r="C42" s="6">
        <f>$K$3+$L$3*A42</f>
        <v>10635</v>
      </c>
      <c r="D42" s="6">
        <f>$K$4+$L$4*A42</f>
        <v>10450</v>
      </c>
    </row>
    <row r="43" spans="1:6">
      <c r="A43" s="3">
        <v>9000</v>
      </c>
      <c r="B43" s="6">
        <f>$K$2+$L$2*A43</f>
        <v>10010</v>
      </c>
      <c r="C43" s="6">
        <f>$K$3+$L$3*A43</f>
        <v>10950</v>
      </c>
      <c r="D43" s="6">
        <f>$K$4+$L$4*A43</f>
        <v>10750</v>
      </c>
    </row>
    <row r="44" spans="1:6">
      <c r="A44" s="3">
        <v>9300</v>
      </c>
      <c r="B44" s="6">
        <f>$K$2+$L$2*A44</f>
        <v>10277</v>
      </c>
      <c r="C44" s="6">
        <f>$K$3+$L$3*A44</f>
        <v>11265</v>
      </c>
      <c r="D44" s="6">
        <f>$K$4+$L$4*A44</f>
        <v>11050</v>
      </c>
    </row>
    <row r="45" spans="1:6">
      <c r="A45" s="3">
        <v>9600</v>
      </c>
      <c r="B45" s="6">
        <f>$K$2+$L$2*A45</f>
        <v>10544</v>
      </c>
      <c r="C45" s="6">
        <f>$K$3+$L$3*A45</f>
        <v>11580</v>
      </c>
      <c r="D45" s="6">
        <f>$K$4+$L$4*A45</f>
        <v>11350</v>
      </c>
    </row>
    <row r="46" spans="1:6">
      <c r="A46" s="3">
        <v>9900</v>
      </c>
      <c r="B46" s="6">
        <f>$K$2+$L$2*A46</f>
        <v>10811</v>
      </c>
      <c r="C46" s="6">
        <f>$K$3+$L$3*A46</f>
        <v>11895</v>
      </c>
      <c r="D46" s="6">
        <f>$K$4+$L$4*A46</f>
        <v>11650</v>
      </c>
    </row>
    <row r="47" spans="1:6">
      <c r="A47" s="3">
        <v>10000</v>
      </c>
      <c r="B47" s="6">
        <f>$K$2+$L$2*A47</f>
        <v>10900</v>
      </c>
      <c r="C47" s="6">
        <f>$K$3+$L$3*A47</f>
        <v>12000</v>
      </c>
      <c r="D47" s="6">
        <f>$K$4+$L$4*A47</f>
        <v>11750</v>
      </c>
    </row>
    <row r="48" spans="1:6"/>
    <row r="49"/>
    <row r="50"/>
    <row r="51"/>
    <row r="52"/>
    <row r="53"/>
  </sheetData>
  <mergeCells count="1">
    <mergeCell ref="A1:H1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workbookViewId="0">
      <selection activeCell="K8" sqref="K8"/>
    </sheetView>
  </sheetViews>
  <sheetFormatPr defaultRowHeight="14.45"/>
  <cols>
    <col min="1" max="1" width="29.140625" customWidth="1"/>
    <col min="2" max="2" width="23.85546875" customWidth="1"/>
    <col min="3" max="3" width="27.5703125" customWidth="1"/>
    <col min="4" max="4" width="22.140625" customWidth="1"/>
    <col min="5" max="5" width="35.140625" customWidth="1"/>
  </cols>
  <sheetData>
    <row r="1" spans="1:5">
      <c r="D1" s="2" t="s">
        <v>2</v>
      </c>
      <c r="E1" s="2" t="s">
        <v>3</v>
      </c>
    </row>
    <row r="2" spans="1:5">
      <c r="D2" s="9">
        <v>18000</v>
      </c>
      <c r="E2" s="9">
        <v>2</v>
      </c>
    </row>
    <row r="5" spans="1:5" ht="28.9">
      <c r="D5" s="10" t="s">
        <v>9</v>
      </c>
      <c r="E5" s="11">
        <v>5</v>
      </c>
    </row>
    <row r="13" spans="1:5" ht="15">
      <c r="A13" s="2" t="s">
        <v>10</v>
      </c>
      <c r="B13" s="2" t="s">
        <v>11</v>
      </c>
      <c r="C13" s="2" t="s">
        <v>12</v>
      </c>
    </row>
    <row r="14" spans="1:5">
      <c r="A14" s="3">
        <v>0</v>
      </c>
      <c r="B14" s="12">
        <f>$D$2+E2*A14</f>
        <v>18000</v>
      </c>
      <c r="C14" s="12">
        <f>($E$5*A14)-B14</f>
        <v>-18000</v>
      </c>
    </row>
    <row r="15" spans="1:5">
      <c r="A15" s="3">
        <v>2000</v>
      </c>
      <c r="B15" s="12">
        <f>$D$2+$E$2*A15</f>
        <v>22000</v>
      </c>
      <c r="C15" s="12">
        <f t="shared" ref="C15:C25" si="0">($E$5*A15)-B15</f>
        <v>-12000</v>
      </c>
    </row>
    <row r="16" spans="1:5">
      <c r="A16" s="3">
        <v>4000</v>
      </c>
      <c r="B16" s="12">
        <f>$D$2+$E$2*A16</f>
        <v>26000</v>
      </c>
      <c r="C16" s="12">
        <f t="shared" si="0"/>
        <v>-6000</v>
      </c>
    </row>
    <row r="17" spans="1:3">
      <c r="A17" s="25">
        <v>6000</v>
      </c>
      <c r="B17" s="26">
        <f t="shared" ref="B17:B25" si="1">$D$2+$E$2*A17</f>
        <v>30000</v>
      </c>
      <c r="C17" s="26">
        <f t="shared" si="0"/>
        <v>0</v>
      </c>
    </row>
    <row r="18" spans="1:3">
      <c r="A18" s="3">
        <v>8000</v>
      </c>
      <c r="B18" s="12">
        <f t="shared" si="1"/>
        <v>34000</v>
      </c>
      <c r="C18" s="12">
        <f t="shared" si="0"/>
        <v>6000</v>
      </c>
    </row>
    <row r="19" spans="1:3">
      <c r="A19" s="3">
        <v>10000</v>
      </c>
      <c r="B19" s="12">
        <f t="shared" si="1"/>
        <v>38000</v>
      </c>
      <c r="C19" s="12">
        <f t="shared" si="0"/>
        <v>12000</v>
      </c>
    </row>
    <row r="20" spans="1:3">
      <c r="A20" s="3">
        <v>12000</v>
      </c>
      <c r="B20" s="12">
        <f t="shared" si="1"/>
        <v>42000</v>
      </c>
      <c r="C20" s="12">
        <f t="shared" si="0"/>
        <v>18000</v>
      </c>
    </row>
    <row r="21" spans="1:3">
      <c r="A21" s="3">
        <v>14000</v>
      </c>
      <c r="B21" s="12">
        <f t="shared" si="1"/>
        <v>46000</v>
      </c>
      <c r="C21" s="12">
        <f t="shared" si="0"/>
        <v>24000</v>
      </c>
    </row>
    <row r="22" spans="1:3">
      <c r="A22" s="3">
        <v>16000</v>
      </c>
      <c r="B22" s="12">
        <f t="shared" si="1"/>
        <v>50000</v>
      </c>
      <c r="C22" s="12">
        <f t="shared" si="0"/>
        <v>30000</v>
      </c>
    </row>
    <row r="23" spans="1:3">
      <c r="A23" s="3">
        <v>18000</v>
      </c>
      <c r="B23" s="12">
        <f t="shared" si="1"/>
        <v>54000</v>
      </c>
      <c r="C23" s="12">
        <f t="shared" si="0"/>
        <v>36000</v>
      </c>
    </row>
    <row r="24" spans="1:3">
      <c r="A24" s="3">
        <v>20000</v>
      </c>
      <c r="B24" s="12">
        <f t="shared" si="1"/>
        <v>58000</v>
      </c>
      <c r="C24" s="12">
        <f t="shared" si="0"/>
        <v>42000</v>
      </c>
    </row>
    <row r="25" spans="1:3">
      <c r="A25" s="3">
        <v>22000</v>
      </c>
      <c r="B25" s="12">
        <f t="shared" si="1"/>
        <v>62000</v>
      </c>
      <c r="C25" s="12">
        <f t="shared" si="0"/>
        <v>48000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31EF8D21B89E489E02760682E7ACE0" ma:contentTypeVersion="3" ma:contentTypeDescription="Crie um novo documento." ma:contentTypeScope="" ma:versionID="bda68d90bd11809017d6ca27ed5750dc">
  <xsd:schema xmlns:xsd="http://www.w3.org/2001/XMLSchema" xmlns:xs="http://www.w3.org/2001/XMLSchema" xmlns:p="http://schemas.microsoft.com/office/2006/metadata/properties" xmlns:ns2="68fcbebd-d32a-4506-993e-5507abf60213" targetNamespace="http://schemas.microsoft.com/office/2006/metadata/properties" ma:root="true" ma:fieldsID="5ed144fda35c3ed96971811bbf81d839" ns2:_="">
    <xsd:import namespace="68fcbebd-d32a-4506-993e-5507abf60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cbebd-d32a-4506-993e-5507abf602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8D7613-7D11-4EAF-96AB-D339F01E371D}"/>
</file>

<file path=customXml/itemProps2.xml><?xml version="1.0" encoding="utf-8"?>
<ds:datastoreItem xmlns:ds="http://schemas.openxmlformats.org/officeDocument/2006/customXml" ds:itemID="{F5183C69-17FA-40CC-A552-1C25D8D60A73}"/>
</file>

<file path=customXml/itemProps3.xml><?xml version="1.0" encoding="utf-8"?>
<ds:datastoreItem xmlns:ds="http://schemas.openxmlformats.org/officeDocument/2006/customXml" ds:itemID="{94FA469F-3E2F-4FF7-8F55-8AD81A099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da Silva Jacinto</dc:creator>
  <cp:keywords/>
  <dc:description/>
  <cp:lastModifiedBy>RAFAELA DA MOTTA RIBEIRO</cp:lastModifiedBy>
  <cp:revision/>
  <dcterms:created xsi:type="dcterms:W3CDTF">2019-09-11T19:52:07Z</dcterms:created>
  <dcterms:modified xsi:type="dcterms:W3CDTF">2025-05-31T06:40:47Z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d784d6c8-f789-460f-8b66-69d870e70e29</vt:lpwstr>
  </property>
  <property fmtid="{D5CDD505-2E9C-101B-9397-08002B2CF9AE}" pid="3" name="ContentTypeId">
    <vt:lpwstr>0x010100EC31EF8D21B89E489E02760682E7ACE0</vt:lpwstr>
  </property>
</Properties>
</file>